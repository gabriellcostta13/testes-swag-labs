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Teste" sheetId="1" r:id="rId5"/>
    <sheet state="visible" name="Bug Report" sheetId="2" r:id="rId6"/>
    <sheet state="visible" name="Resumo" sheetId="3" r:id="rId7"/>
  </sheets>
  <definedNames/>
  <calcPr/>
</workbook>
</file>

<file path=xl/sharedStrings.xml><?xml version="1.0" encoding="utf-8"?>
<sst xmlns="http://schemas.openxmlformats.org/spreadsheetml/2006/main" count="92" uniqueCount="70">
  <si>
    <t>📋  PLANO DE TESTES — SWAG LABS  |  Fase 1: Login</t>
  </si>
  <si>
    <t>Site: https://www.saucedemo.com   |   Testador: _______________   |   Data: ___/___/______</t>
  </si>
  <si>
    <t>ID</t>
  </si>
  <si>
    <t>Título do Teste</t>
  </si>
  <si>
    <t>Tipo</t>
  </si>
  <si>
    <t>Pré-condição</t>
  </si>
  <si>
    <t>Passos</t>
  </si>
  <si>
    <t>Resultado Esperado</t>
  </si>
  <si>
    <t>Status</t>
  </si>
  <si>
    <t>Severidade</t>
  </si>
  <si>
    <t>Observações</t>
  </si>
  <si>
    <t>CT-001</t>
  </si>
  <si>
    <t>Login com credenciais válidas</t>
  </si>
  <si>
    <t>✅ Positivo</t>
  </si>
  <si>
    <t>Estar na tela de login do Swag Labs</t>
  </si>
  <si>
    <t>1. Abrir saucedemo.com
2. Digitar 'standard_user' em Username
3. Digitar 'secret_sauce' em Password
4. Clicar em Login</t>
  </si>
  <si>
    <t>Usuário é redirecionado para a página de produtos</t>
  </si>
  <si>
    <t>Passou</t>
  </si>
  <si>
    <t>Alta</t>
  </si>
  <si>
    <t>CT-002</t>
  </si>
  <si>
    <t>Login com senha incorreta</t>
  </si>
  <si>
    <t>❌ Negativo</t>
  </si>
  <si>
    <t>1. Abrir saucedemo.com
2. Digitar 'standard_user' em Username
3. Digitar 'senha_errada' em Password
4. Clicar em Login</t>
  </si>
  <si>
    <t>Mensagem de erro: 'Username and password do not match'</t>
  </si>
  <si>
    <t>CT-003</t>
  </si>
  <si>
    <t>Login com campos vazios</t>
  </si>
  <si>
    <t>1. Abrir saucedemo.com
2. Deixar Username vazio
3. Deixar Password vazio
4. Clicar em Login</t>
  </si>
  <si>
    <t>Mensagem de erro: 'Username is required'</t>
  </si>
  <si>
    <t>CT-004</t>
  </si>
  <si>
    <t>Imagens dos produtos quebradas (problem_user)</t>
  </si>
  <si>
    <t>1. Abrir saucedemo.com
2. Digitar 'problem_user' em Username
3. Digitar 'secret_sauce' em Password
4. Clicar em Login</t>
  </si>
  <si>
    <t>Todas as imagens dos produtos devem ser exibidas corretamente</t>
  </si>
  <si>
    <t>Falhou</t>
  </si>
  <si>
    <t>Média</t>
  </si>
  <si>
    <t xml:space="preserve"> Bug visual — nenhuma imagem carrega, apenas ícone de erro
</t>
  </si>
  <si>
    <t>CT-005</t>
  </si>
  <si>
    <t xml:space="preserve"> Botão "Remove" não funciona na página home (error_user)</t>
  </si>
  <si>
    <t>Estar logado com error_user e ter um produto adicionado ao carrinho</t>
  </si>
  <si>
    <t>1. Abrir saucedemo.com
2. Digitar 'error_user' em Username
3. Digitar 'secret_sauce'
4. Clicar em Login 5.Adicionar qualquer produto ao carrinho 6. Tentar clicar em 'remove' na página principal de produtos</t>
  </si>
  <si>
    <t>O produto deve ser removido do carrinho diretamente na página de produtos</t>
  </si>
  <si>
    <t>Só é possível remover indo até a página do carrinho — comportamento incorreto</t>
  </si>
  <si>
    <t>LEGENDA DE STATUS</t>
  </si>
  <si>
    <t>Teste executado e resultado conforme o esperado</t>
  </si>
  <si>
    <t>Teste executado e resultado DIFERENTE do esperado (bug encontrado)</t>
  </si>
  <si>
    <t>A Testar</t>
  </si>
  <si>
    <t>Teste ainda não foi executado</t>
  </si>
  <si>
    <t>🐛  BUG REPORT — SWAG LABS  |  Fase 1: Login</t>
  </si>
  <si>
    <t>Registre aqui todo bug encontrado durante os testes</t>
  </si>
  <si>
    <t>Título do Bug</t>
  </si>
  <si>
    <t>CT Relacionado</t>
  </si>
  <si>
    <t>Passos para Reproduzir</t>
  </si>
  <si>
    <t>Resultado Obtido</t>
  </si>
  <si>
    <t>BUG-001</t>
  </si>
  <si>
    <t>Imagens quebradas na página de produtos para problem_user</t>
  </si>
  <si>
    <t>Acessar saucedemo.com
Login com problem_user / secret_sauce
Observar a página de produtos</t>
  </si>
  <si>
    <t>Todas as imagens aparecem com outra imagem   — nenhuma foto dos produtos</t>
  </si>
  <si>
    <t>Todas imagens aparecerem de acordo com o produto descrito.</t>
  </si>
  <si>
    <t>Aberto</t>
  </si>
  <si>
    <t>BUG-002</t>
  </si>
  <si>
    <t>Botão "Remove" inoperante na página de produtos para error_user</t>
  </si>
  <si>
    <t xml:space="preserve"> CT-005</t>
  </si>
  <si>
    <t>Acessar saucedemo.com
Login com error_user / secret_sauce
Adicionar qualquer produto ao carrinho
Tentar clicar em "Remove" na página de produtos</t>
  </si>
  <si>
    <t xml:space="preserve"> O botão "Add to cart" não funciona corretamente para error_user — o item não é adicionado ao carrinho e ao tentar remover o site retorna erro "Failed to remove item from cart"
</t>
  </si>
  <si>
    <t>O produto deve ser removido do carrinho ao clicar em "Remove"
Status: Aberto</t>
  </si>
  <si>
    <t>📊  RESUMO DE EXECUÇÃO</t>
  </si>
  <si>
    <t>Total de casos de teste</t>
  </si>
  <si>
    <t>Passaram ✅</t>
  </si>
  <si>
    <t>Falharam ❌</t>
  </si>
  <si>
    <t>A Testar ⏳</t>
  </si>
  <si>
    <t>Total de bugs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</si>
</sst>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0.0"/>
      <color rgb="FFFFFFFF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9C6500"/>
      <name val="Arial"/>
    </font>
    <font>
      <b/>
      <sz val="9.0"/>
      <color rgb="FF666666"/>
      <name val="Arial"/>
    </font>
    <font>
      <b/>
      <sz val="9.0"/>
      <color rgb="FF276221"/>
      <name val="Arial"/>
    </font>
    <font>
      <sz val="9.0"/>
      <color rgb="FF444444"/>
      <name val="Arial"/>
    </font>
    <font>
      <b/>
      <sz val="9.0"/>
      <color rgb="FF9C0006"/>
      <name val="Arial"/>
    </font>
    <font>
      <b/>
      <sz val="9.0"/>
      <color rgb="FF9C6500"/>
      <name val="Arial"/>
    </font>
    <font>
      <b/>
      <i/>
      <sz val="10.0"/>
      <color rgb="FF000000"/>
      <name val="Arial"/>
    </font>
    <font>
      <i/>
      <sz val="10.0"/>
      <color rgb="FF000000"/>
      <name val="Arial"/>
    </font>
    <font>
      <sz val="11.0"/>
      <color theme="1"/>
      <name val="Calibri"/>
    </font>
    <font>
      <color theme="1"/>
      <name val="Calibri"/>
      <scheme val="minor"/>
    </font>
    <font>
      <sz val="10.0"/>
      <color rgb="FF888888"/>
      <name val="Arial"/>
    </font>
    <font>
      <b/>
      <sz val="22.0"/>
      <color rgb="FFFFFFFF"/>
      <name val="Arial"/>
    </font>
    <font>
      <b/>
      <sz val="22.0"/>
      <color rgb="FF276221"/>
      <name val="Arial"/>
    </font>
    <font>
      <b/>
      <sz val="22.0"/>
      <color rgb="FF9C0006"/>
      <name val="Arial"/>
    </font>
    <font>
      <b/>
      <sz val="22.0"/>
      <color rgb="FF9C6500"/>
      <name val="Arial"/>
    </font>
    <font>
      <b/>
      <sz val="22.0"/>
      <color rgb="FF7B1E1E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2E86AB"/>
        <bgColor rgb="FF2E86AB"/>
      </patternFill>
    </fill>
    <fill>
      <patternFill patternType="solid">
        <fgColor rgb="FFF2F7FB"/>
        <bgColor rgb="FFF2F7FB"/>
      </patternFill>
    </fill>
    <fill>
      <patternFill patternType="solid">
        <fgColor rgb="FFD6EAD0"/>
        <bgColor rgb="FFD6EAD0"/>
      </patternFill>
    </fill>
    <fill>
      <patternFill patternType="solid">
        <fgColor rgb="FFFFEB9C"/>
        <bgColor rgb="FFFFEB9C"/>
      </patternFill>
    </fill>
    <fill>
      <patternFill patternType="solid">
        <fgColor rgb="FFFFFFFF"/>
        <bgColor rgb="FFFFFFFF"/>
      </patternFill>
    </fill>
    <fill>
      <patternFill patternType="solid">
        <fgColor rgb="FFFAD7D7"/>
        <bgColor rgb="FFFAD7D7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7B1E1E"/>
        <bgColor rgb="FF7B1E1E"/>
      </patternFill>
    </fill>
    <fill>
      <patternFill patternType="solid">
        <fgColor rgb="FFA33232"/>
        <bgColor rgb="FFA33232"/>
      </patternFill>
    </fill>
    <fill>
      <patternFill patternType="solid">
        <fgColor rgb="FFE06666"/>
        <bgColor rgb="FFE0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2" fontId="4" numFmtId="0" xfId="0" applyAlignment="1" applyBorder="1" applyFont="1">
      <alignment horizontal="center" shrinkToFit="0" vertical="center" wrapText="1"/>
    </xf>
    <xf borderId="5" fillId="4" fontId="5" numFmtId="0" xfId="0" applyAlignment="1" applyBorder="1" applyFill="1" applyFont="1">
      <alignment horizontal="center" vertical="center"/>
    </xf>
    <xf borderId="5" fillId="4" fontId="6" numFmtId="0" xfId="0" applyAlignment="1" applyBorder="1" applyFont="1">
      <alignment shrinkToFit="0" vertical="center" wrapText="1"/>
    </xf>
    <xf borderId="5" fillId="5" fontId="6" numFmtId="0" xfId="0" applyAlignment="1" applyBorder="1" applyFill="1" applyFont="1">
      <alignment horizontal="center" shrinkToFit="0" vertical="center" wrapText="1"/>
    </xf>
    <xf borderId="5" fillId="6" fontId="7" numFmtId="0" xfId="0" applyAlignment="1" applyBorder="1" applyFill="1" applyFont="1">
      <alignment horizontal="center" readingOrder="0" vertical="center"/>
    </xf>
    <xf borderId="5" fillId="4" fontId="6" numFmtId="0" xfId="0" applyAlignment="1" applyBorder="1" applyFont="1">
      <alignment horizontal="center" vertical="center"/>
    </xf>
    <xf borderId="5" fillId="7" fontId="5" numFmtId="0" xfId="0" applyAlignment="1" applyBorder="1" applyFill="1" applyFont="1">
      <alignment horizontal="center" vertical="center"/>
    </xf>
    <xf borderId="5" fillId="7" fontId="6" numFmtId="0" xfId="0" applyAlignment="1" applyBorder="1" applyFont="1">
      <alignment shrinkToFit="0" vertical="center" wrapText="1"/>
    </xf>
    <xf borderId="5" fillId="8" fontId="6" numFmtId="0" xfId="0" applyAlignment="1" applyBorder="1" applyFill="1" applyFont="1">
      <alignment horizontal="center" shrinkToFit="0" vertical="center" wrapText="1"/>
    </xf>
    <xf borderId="5" fillId="7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left" readingOrder="0" vertical="center"/>
    </xf>
    <xf borderId="5" fillId="7" fontId="6" numFmtId="0" xfId="0" applyAlignment="1" applyBorder="1" applyFont="1">
      <alignment readingOrder="0" shrinkToFit="0" vertical="center" wrapText="1"/>
    </xf>
    <xf borderId="5" fillId="4" fontId="6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horizontal="left" vertical="center"/>
    </xf>
    <xf borderId="5" fillId="9" fontId="9" numFmtId="0" xfId="0" applyAlignment="1" applyBorder="1" applyFill="1" applyFont="1">
      <alignment horizontal="center" vertical="center"/>
    </xf>
    <xf borderId="0" fillId="0" fontId="10" numFmtId="0" xfId="0" applyAlignment="1" applyFont="1">
      <alignment vertical="center"/>
    </xf>
    <xf borderId="5" fillId="10" fontId="11" numFmtId="0" xfId="0" applyAlignment="1" applyBorder="1" applyFill="1" applyFont="1">
      <alignment horizontal="center" vertical="center"/>
    </xf>
    <xf borderId="5" fillId="6" fontId="12" numFmtId="0" xfId="0" applyAlignment="1" applyBorder="1" applyFont="1">
      <alignment horizontal="center" vertical="center"/>
    </xf>
    <xf borderId="1" fillId="11" fontId="1" numFmtId="0" xfId="0" applyAlignment="1" applyBorder="1" applyFill="1" applyFont="1">
      <alignment horizontal="center" vertical="center"/>
    </xf>
    <xf borderId="1" fillId="12" fontId="3" numFmtId="0" xfId="0" applyAlignment="1" applyBorder="1" applyFill="1" applyFont="1">
      <alignment horizontal="center" vertical="center"/>
    </xf>
    <xf borderId="4" fillId="13" fontId="13" numFmtId="0" xfId="0" applyAlignment="1" applyBorder="1" applyFill="1" applyFont="1">
      <alignment horizontal="center" shrinkToFit="0" vertical="center" wrapText="1"/>
    </xf>
    <xf borderId="5" fillId="13" fontId="14" numFmtId="0" xfId="0" applyAlignment="1" applyBorder="1" applyFont="1">
      <alignment horizontal="center" shrinkToFit="0" vertical="center" wrapText="1"/>
    </xf>
    <xf borderId="5" fillId="13" fontId="14" numFmtId="0" xfId="0" applyAlignment="1" applyBorder="1" applyFont="1">
      <alignment horizontal="center" readingOrder="0" shrinkToFit="0" vertical="center" wrapText="1"/>
    </xf>
    <xf borderId="0" fillId="13" fontId="14" numFmtId="0" xfId="0" applyAlignment="1" applyFont="1">
      <alignment horizontal="center" readingOrder="0" textRotation="0" vertical="center"/>
    </xf>
    <xf borderId="5" fillId="7" fontId="15" numFmtId="0" xfId="0" applyAlignment="1" applyBorder="1" applyFont="1">
      <alignment shrinkToFit="0" vertical="center" wrapText="1"/>
    </xf>
    <xf borderId="0" fillId="0" fontId="16" numFmtId="0" xfId="0" applyFont="1"/>
    <xf borderId="5" fillId="4" fontId="15" numFmtId="0" xfId="0" applyAlignment="1" applyBorder="1" applyFont="1">
      <alignment shrinkToFit="0" vertical="center" wrapText="1"/>
    </xf>
    <xf borderId="0" fillId="0" fontId="17" numFmtId="0" xfId="0" applyAlignment="1" applyFont="1">
      <alignment vertical="bottom"/>
    </xf>
    <xf borderId="6" fillId="3" fontId="18" numFmtId="0" xfId="0" applyAlignment="1" applyBorder="1" applyFont="1">
      <alignment horizontal="center" vertical="center"/>
    </xf>
    <xf borderId="7" fillId="0" fontId="2" numFmtId="0" xfId="0" applyBorder="1" applyFont="1"/>
    <xf borderId="6" fillId="9" fontId="19" numFmtId="0" xfId="0" applyAlignment="1" applyBorder="1" applyFont="1">
      <alignment horizontal="center" vertical="center"/>
    </xf>
    <xf borderId="6" fillId="10" fontId="20" numFmtId="0" xfId="0" applyAlignment="1" applyBorder="1" applyFont="1">
      <alignment horizontal="center" vertical="center"/>
    </xf>
    <xf borderId="6" fillId="6" fontId="21" numFmtId="0" xfId="0" applyAlignment="1" applyBorder="1" applyFont="1">
      <alignment horizontal="center" vertical="center"/>
    </xf>
    <xf borderId="6" fillId="8" fontId="2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32.0"/>
    <col customWidth="1" min="3" max="3" width="14.0"/>
    <col customWidth="1" min="4" max="4" width="28.0"/>
    <col customWidth="1" min="5" max="6" width="38.0"/>
    <col customWidth="1" min="7" max="7" width="14.0"/>
    <col customWidth="1" min="8" max="8" width="18.0"/>
    <col customWidth="1" min="9" max="9" width="22.0"/>
    <col customWidth="1" min="10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2"/>
      <c r="I2" s="3"/>
    </row>
    <row r="3" ht="7.5" customHeight="1"/>
    <row r="4" ht="31.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</row>
    <row r="5" ht="69.75" customHeight="1">
      <c r="A5" s="6" t="s">
        <v>11</v>
      </c>
      <c r="B5" s="7" t="s">
        <v>12</v>
      </c>
      <c r="C5" s="8" t="s">
        <v>13</v>
      </c>
      <c r="D5" s="7" t="s">
        <v>14</v>
      </c>
      <c r="E5" s="7" t="s">
        <v>15</v>
      </c>
      <c r="F5" s="7" t="s">
        <v>16</v>
      </c>
      <c r="G5" s="9" t="s">
        <v>17</v>
      </c>
      <c r="H5" s="10" t="s">
        <v>18</v>
      </c>
      <c r="I5" s="7"/>
    </row>
    <row r="6" ht="69.75" customHeight="1">
      <c r="A6" s="11" t="s">
        <v>19</v>
      </c>
      <c r="B6" s="12" t="s">
        <v>20</v>
      </c>
      <c r="C6" s="13" t="s">
        <v>21</v>
      </c>
      <c r="D6" s="12" t="s">
        <v>14</v>
      </c>
      <c r="E6" s="12" t="s">
        <v>22</v>
      </c>
      <c r="F6" s="12" t="s">
        <v>23</v>
      </c>
      <c r="G6" s="9" t="s">
        <v>17</v>
      </c>
      <c r="H6" s="14" t="s">
        <v>18</v>
      </c>
      <c r="I6" s="12"/>
    </row>
    <row r="7" ht="69.75" customHeight="1">
      <c r="A7" s="6" t="s">
        <v>24</v>
      </c>
      <c r="B7" s="7" t="s">
        <v>25</v>
      </c>
      <c r="C7" s="13" t="s">
        <v>21</v>
      </c>
      <c r="D7" s="7" t="s">
        <v>14</v>
      </c>
      <c r="E7" s="7" t="s">
        <v>26</v>
      </c>
      <c r="F7" s="7" t="s">
        <v>27</v>
      </c>
      <c r="G7" s="9" t="s">
        <v>17</v>
      </c>
      <c r="H7" s="10" t="s">
        <v>18</v>
      </c>
      <c r="I7" s="7"/>
    </row>
    <row r="8" ht="69.75" customHeight="1">
      <c r="A8" s="11" t="s">
        <v>28</v>
      </c>
      <c r="B8" s="15" t="s">
        <v>29</v>
      </c>
      <c r="C8" s="13" t="s">
        <v>21</v>
      </c>
      <c r="D8" s="12" t="s">
        <v>14</v>
      </c>
      <c r="E8" s="16" t="s">
        <v>30</v>
      </c>
      <c r="F8" s="16" t="s">
        <v>31</v>
      </c>
      <c r="G8" s="9" t="s">
        <v>32</v>
      </c>
      <c r="H8" s="14" t="s">
        <v>33</v>
      </c>
      <c r="I8" s="16" t="s">
        <v>34</v>
      </c>
    </row>
    <row r="9" ht="69.75" customHeight="1">
      <c r="A9" s="6" t="s">
        <v>35</v>
      </c>
      <c r="B9" s="17" t="s">
        <v>36</v>
      </c>
      <c r="C9" s="13" t="s">
        <v>21</v>
      </c>
      <c r="D9" s="17" t="s">
        <v>37</v>
      </c>
      <c r="E9" s="17" t="s">
        <v>38</v>
      </c>
      <c r="F9" s="17" t="s">
        <v>39</v>
      </c>
      <c r="G9" s="9" t="s">
        <v>32</v>
      </c>
      <c r="H9" s="10" t="s">
        <v>18</v>
      </c>
      <c r="I9" s="17" t="s">
        <v>40</v>
      </c>
    </row>
    <row r="12" ht="18.0" customHeight="1">
      <c r="A12" s="18" t="s">
        <v>41</v>
      </c>
    </row>
    <row r="13" ht="18.0" customHeight="1">
      <c r="A13" s="19" t="s">
        <v>17</v>
      </c>
      <c r="B13" s="20" t="s">
        <v>42</v>
      </c>
    </row>
    <row r="14" ht="18.0" customHeight="1">
      <c r="A14" s="21" t="s">
        <v>32</v>
      </c>
      <c r="B14" s="20" t="s">
        <v>43</v>
      </c>
    </row>
    <row r="15" ht="18.0" customHeight="1">
      <c r="A15" s="22" t="s">
        <v>44</v>
      </c>
      <c r="B15" s="20" t="s">
        <v>45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6">
    <mergeCell ref="A1:I1"/>
    <mergeCell ref="A2:I2"/>
    <mergeCell ref="A12:I12"/>
    <mergeCell ref="B13:I13"/>
    <mergeCell ref="B14:I14"/>
    <mergeCell ref="B15:I15"/>
  </mergeCells>
  <dataValidations>
    <dataValidation type="list" allowBlank="1" sqref="G5:G9">
      <formula1>"Passou,Falhou,A Testar"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28.0"/>
    <col customWidth="1" min="3" max="4" width="12.0"/>
    <col customWidth="1" min="5" max="6" width="32.0"/>
    <col customWidth="1" min="7" max="7" width="18.0"/>
    <col customWidth="1" min="8" max="8" width="22.0"/>
    <col customWidth="1" min="9" max="26" width="8.71"/>
  </cols>
  <sheetData>
    <row r="1" ht="36.0" customHeight="1">
      <c r="A1" s="23" t="s">
        <v>46</v>
      </c>
      <c r="B1" s="2"/>
      <c r="C1" s="2"/>
      <c r="D1" s="2"/>
      <c r="E1" s="2"/>
      <c r="F1" s="2"/>
      <c r="G1" s="2"/>
      <c r="H1" s="3"/>
    </row>
    <row r="2" ht="21.75" customHeight="1">
      <c r="A2" s="24" t="s">
        <v>47</v>
      </c>
      <c r="B2" s="2"/>
      <c r="C2" s="2"/>
      <c r="D2" s="2"/>
      <c r="E2" s="2"/>
      <c r="F2" s="2"/>
      <c r="G2" s="2"/>
      <c r="H2" s="3"/>
    </row>
    <row r="3" ht="7.5" customHeight="1"/>
    <row r="4" ht="31.5" customHeight="1">
      <c r="A4" s="25" t="s">
        <v>2</v>
      </c>
      <c r="B4" s="25" t="s">
        <v>48</v>
      </c>
      <c r="C4" s="25" t="s">
        <v>49</v>
      </c>
      <c r="D4" s="25" t="s">
        <v>9</v>
      </c>
      <c r="E4" s="25" t="s">
        <v>50</v>
      </c>
      <c r="F4" s="25" t="s">
        <v>51</v>
      </c>
      <c r="G4" s="25" t="s">
        <v>7</v>
      </c>
      <c r="H4" s="25" t="s">
        <v>8</v>
      </c>
    </row>
    <row r="5" ht="79.5" customHeight="1">
      <c r="A5" s="26" t="s">
        <v>52</v>
      </c>
      <c r="B5" s="27" t="s">
        <v>53</v>
      </c>
      <c r="C5" s="27" t="s">
        <v>28</v>
      </c>
      <c r="D5" s="26" t="s">
        <v>18</v>
      </c>
      <c r="E5" s="27" t="s">
        <v>54</v>
      </c>
      <c r="F5" s="27" t="s">
        <v>55</v>
      </c>
      <c r="G5" s="27" t="s">
        <v>56</v>
      </c>
      <c r="H5" s="26" t="s">
        <v>57</v>
      </c>
    </row>
    <row r="6" ht="60.0" customHeight="1">
      <c r="A6" s="27" t="s">
        <v>58</v>
      </c>
      <c r="B6" s="28" t="s">
        <v>59</v>
      </c>
      <c r="C6" s="27" t="s">
        <v>60</v>
      </c>
      <c r="D6" s="27" t="s">
        <v>18</v>
      </c>
      <c r="E6" s="27" t="s">
        <v>61</v>
      </c>
      <c r="F6" s="27" t="s">
        <v>62</v>
      </c>
      <c r="G6" s="27" t="s">
        <v>63</v>
      </c>
      <c r="H6" s="27" t="s">
        <v>57</v>
      </c>
    </row>
    <row r="7" ht="60.0" customHeight="1">
      <c r="A7" s="29"/>
      <c r="B7" s="30"/>
      <c r="C7" s="29"/>
      <c r="D7" s="29"/>
      <c r="E7" s="29"/>
      <c r="F7" s="29"/>
      <c r="G7" s="29"/>
      <c r="H7" s="29"/>
    </row>
    <row r="8" ht="60.0" customHeight="1">
      <c r="A8" s="31"/>
      <c r="B8" s="31"/>
      <c r="C8" s="31"/>
      <c r="D8" s="31"/>
      <c r="E8" s="31"/>
      <c r="F8" s="31"/>
      <c r="G8" s="31"/>
      <c r="H8" s="31"/>
    </row>
    <row r="9" ht="60.0" customHeight="1">
      <c r="A9" s="29"/>
      <c r="B9" s="29"/>
      <c r="C9" s="29"/>
      <c r="D9" s="29"/>
      <c r="E9" s="29"/>
      <c r="F9" s="29"/>
      <c r="G9" s="29"/>
      <c r="H9" s="29"/>
    </row>
    <row r="10" ht="60.0" customHeight="1">
      <c r="A10" s="31"/>
      <c r="B10" s="31"/>
      <c r="C10" s="31"/>
      <c r="D10" s="31"/>
      <c r="E10" s="31"/>
      <c r="F10" s="31"/>
      <c r="G10" s="31"/>
      <c r="H10" s="31"/>
    </row>
    <row r="11" ht="60.0" customHeight="1">
      <c r="A11" s="29"/>
      <c r="B11" s="29"/>
      <c r="C11" s="29"/>
      <c r="D11" s="29"/>
      <c r="E11" s="29"/>
      <c r="F11" s="29"/>
      <c r="G11" s="29"/>
      <c r="H11" s="29"/>
    </row>
    <row r="12" ht="60.0" customHeight="1">
      <c r="A12" s="31"/>
      <c r="B12" s="31"/>
      <c r="C12" s="31"/>
      <c r="D12" s="31"/>
      <c r="E12" s="31"/>
      <c r="F12" s="31"/>
      <c r="G12" s="31"/>
      <c r="H12" s="31"/>
    </row>
    <row r="13" ht="60.0" customHeight="1">
      <c r="A13" s="29"/>
      <c r="B13" s="29"/>
      <c r="C13" s="29"/>
      <c r="D13" s="29"/>
      <c r="E13" s="29"/>
      <c r="F13" s="29"/>
      <c r="G13" s="29"/>
      <c r="H13" s="29"/>
    </row>
    <row r="14" ht="60.0" customHeight="1">
      <c r="A14" s="31"/>
      <c r="B14" s="31"/>
      <c r="C14" s="31"/>
      <c r="D14" s="31"/>
      <c r="E14" s="31"/>
      <c r="F14" s="31"/>
      <c r="G14" s="31"/>
      <c r="H14" s="31"/>
    </row>
    <row r="15" ht="60.0" customHeight="1">
      <c r="A15" s="29"/>
      <c r="B15" s="29"/>
      <c r="C15" s="29"/>
      <c r="D15" s="29"/>
      <c r="E15" s="29"/>
      <c r="F15" s="29"/>
      <c r="G15" s="29"/>
      <c r="H15" s="2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3" width="18.0"/>
    <col customWidth="1" min="4" max="4" width="3.0"/>
    <col customWidth="1" min="5" max="26" width="8.71"/>
  </cols>
  <sheetData>
    <row r="1" ht="36.0" customHeight="1">
      <c r="A1" s="1" t="s">
        <v>64</v>
      </c>
      <c r="B1" s="2"/>
      <c r="C1" s="2"/>
      <c r="D1" s="3"/>
    </row>
    <row r="3" ht="18.0" customHeight="1">
      <c r="B3" s="32" t="s">
        <v>65</v>
      </c>
    </row>
    <row r="4" ht="30.0" customHeight="1">
      <c r="B4" s="33">
        <f>COUNTA('Casos de Teste'!A5:A9)</f>
        <v>5</v>
      </c>
      <c r="C4" s="34"/>
    </row>
    <row r="5" ht="7.5" customHeight="1"/>
    <row r="6" ht="18.0" customHeight="1">
      <c r="B6" s="32" t="s">
        <v>66</v>
      </c>
    </row>
    <row r="7" ht="30.0" customHeight="1">
      <c r="B7" s="35">
        <f>COUNTIF('Casos de Teste'!G5:G9,"Passou")</f>
        <v>3</v>
      </c>
      <c r="C7" s="34"/>
    </row>
    <row r="8" ht="7.5" customHeight="1"/>
    <row r="9" ht="18.0" customHeight="1">
      <c r="B9" s="32" t="s">
        <v>67</v>
      </c>
    </row>
    <row r="10" ht="30.0" customHeight="1">
      <c r="B10" s="36">
        <f>COUNTIF('Casos de Teste'!G5:G9,"Falhou")</f>
        <v>2</v>
      </c>
      <c r="C10" s="34"/>
    </row>
    <row r="11" ht="7.5" customHeight="1"/>
    <row r="12" ht="18.0" customHeight="1">
      <c r="B12" s="32" t="s">
        <v>68</v>
      </c>
    </row>
    <row r="13" ht="30.0" customHeight="1">
      <c r="B13" s="37">
        <f>COUNTIF('Casos de Teste'!G5:G9,"A Testar")</f>
        <v>0</v>
      </c>
      <c r="C13" s="34"/>
    </row>
    <row r="14" ht="7.5" customHeight="1"/>
    <row r="15" ht="18.0" customHeight="1">
      <c r="B15" s="32" t="s">
        <v>69</v>
      </c>
    </row>
    <row r="16" ht="30.0" customHeight="1">
      <c r="B16" s="38">
        <f>COUNTIF('Bug Report'!A5:A50,"BUG-*")</f>
        <v>2</v>
      </c>
      <c r="C16" s="34"/>
    </row>
    <row r="17" ht="7.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12:C12"/>
    <mergeCell ref="B13:C13"/>
    <mergeCell ref="B15:C15"/>
    <mergeCell ref="B16:C16"/>
    <mergeCell ref="A1:D1"/>
    <mergeCell ref="B3:C3"/>
    <mergeCell ref="B4:C4"/>
    <mergeCell ref="B6:C6"/>
    <mergeCell ref="B7:C7"/>
    <mergeCell ref="B9:C9"/>
    <mergeCell ref="B10:C10"/>
  </mergeCells>
  <printOptions/>
  <pageMargins bottom="1.0" footer="0.0" header="0.0" left="0.75" right="0.75" top="1.0"/>
  <pageSetup orientation="landscape"/>
  <drawing r:id="rId1"/>
</worksheet>
</file>